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ackup\Python\RPA\02_producao\15_GLPI_Alertas\doc\plan horas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E46" i="1"/>
  <c r="F46" i="1" s="1"/>
  <c r="Y20" i="1"/>
  <c r="Y19" i="1"/>
  <c r="Y18" i="1"/>
  <c r="AB7" i="1" l="1"/>
  <c r="X2" i="1"/>
  <c r="Y2" i="1"/>
  <c r="Y4" i="1" s="1"/>
  <c r="Y5" i="1" s="1"/>
  <c r="Y8" i="1"/>
  <c r="X8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S45" i="1"/>
  <c r="U45" i="1" s="1"/>
  <c r="S44" i="1"/>
  <c r="U44" i="1" s="1"/>
  <c r="S43" i="1"/>
  <c r="T43" i="1" s="1"/>
  <c r="S42" i="1"/>
  <c r="T42" i="1" s="1"/>
  <c r="S41" i="1"/>
  <c r="T41" i="1" s="1"/>
  <c r="S40" i="1"/>
  <c r="T40" i="1" s="1"/>
  <c r="S39" i="1"/>
  <c r="U39" i="1" s="1"/>
  <c r="S38" i="1"/>
  <c r="U38" i="1" s="1"/>
  <c r="S37" i="1"/>
  <c r="T37" i="1" s="1"/>
  <c r="S36" i="1"/>
  <c r="U36" i="1" s="1"/>
  <c r="S35" i="1"/>
  <c r="U35" i="1" s="1"/>
  <c r="S34" i="1"/>
  <c r="U34" i="1" s="1"/>
  <c r="S33" i="1"/>
  <c r="T33" i="1" s="1"/>
  <c r="S32" i="1"/>
  <c r="U32" i="1" s="1"/>
  <c r="U31" i="1"/>
  <c r="S31" i="1"/>
  <c r="T31" i="1" s="1"/>
  <c r="S30" i="1"/>
  <c r="U30" i="1" s="1"/>
  <c r="S29" i="1"/>
  <c r="T29" i="1" s="1"/>
  <c r="S28" i="1"/>
  <c r="U28" i="1" s="1"/>
  <c r="S27" i="1"/>
  <c r="U27" i="1" s="1"/>
  <c r="S26" i="1"/>
  <c r="U26" i="1" s="1"/>
  <c r="U25" i="1"/>
  <c r="S25" i="1"/>
  <c r="T25" i="1" s="1"/>
  <c r="S24" i="1"/>
  <c r="U24" i="1" s="1"/>
  <c r="S23" i="1"/>
  <c r="U23" i="1" s="1"/>
  <c r="S22" i="1"/>
  <c r="T22" i="1" s="1"/>
  <c r="S21" i="1"/>
  <c r="T21" i="1" s="1"/>
  <c r="S20" i="1"/>
  <c r="U20" i="1" s="1"/>
  <c r="S19" i="1"/>
  <c r="T19" i="1" s="1"/>
  <c r="S18" i="1"/>
  <c r="U18" i="1" s="1"/>
  <c r="U17" i="1"/>
  <c r="S17" i="1"/>
  <c r="T17" i="1" s="1"/>
  <c r="S16" i="1"/>
  <c r="U16" i="1" s="1"/>
  <c r="S15" i="1"/>
  <c r="U15" i="1" s="1"/>
  <c r="S14" i="1"/>
  <c r="U14" i="1" s="1"/>
  <c r="S13" i="1"/>
  <c r="T13" i="1" s="1"/>
  <c r="S12" i="1"/>
  <c r="T12" i="1" s="1"/>
  <c r="S11" i="1"/>
  <c r="T11" i="1" s="1"/>
  <c r="S10" i="1"/>
  <c r="U10" i="1" s="1"/>
  <c r="S9" i="1"/>
  <c r="T9" i="1" s="1"/>
  <c r="S8" i="1"/>
  <c r="U8" i="1" s="1"/>
  <c r="S7" i="1"/>
  <c r="U7" i="1" s="1"/>
  <c r="S6" i="1"/>
  <c r="U6" i="1" s="1"/>
  <c r="S5" i="1"/>
  <c r="T5" i="1" s="1"/>
  <c r="S4" i="1"/>
  <c r="T4" i="1" s="1"/>
  <c r="S3" i="1"/>
  <c r="T3" i="1" s="1"/>
  <c r="S2" i="1"/>
  <c r="T2" i="1" s="1"/>
  <c r="L9" i="1"/>
  <c r="M9" i="1" s="1"/>
  <c r="L10" i="1"/>
  <c r="M10" i="1" s="1"/>
  <c r="L11" i="1"/>
  <c r="M11" i="1" s="1"/>
  <c r="L12" i="1"/>
  <c r="L13" i="1"/>
  <c r="N13" i="1" s="1"/>
  <c r="L14" i="1"/>
  <c r="N14" i="1" s="1"/>
  <c r="L15" i="1"/>
  <c r="N15" i="1" s="1"/>
  <c r="L16" i="1"/>
  <c r="M16" i="1" s="1"/>
  <c r="L17" i="1"/>
  <c r="L18" i="1"/>
  <c r="L19" i="1"/>
  <c r="M19" i="1" s="1"/>
  <c r="L20" i="1"/>
  <c r="N20" i="1" s="1"/>
  <c r="L21" i="1"/>
  <c r="M21" i="1" s="1"/>
  <c r="L22" i="1"/>
  <c r="N22" i="1" s="1"/>
  <c r="L23" i="1"/>
  <c r="M23" i="1" s="1"/>
  <c r="L24" i="1"/>
  <c r="L25" i="1"/>
  <c r="N25" i="1" s="1"/>
  <c r="L26" i="1"/>
  <c r="N26" i="1" s="1"/>
  <c r="L27" i="1"/>
  <c r="M27" i="1" s="1"/>
  <c r="L28" i="1"/>
  <c r="M28" i="1" s="1"/>
  <c r="L29" i="1"/>
  <c r="M29" i="1" s="1"/>
  <c r="L30" i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N37" i="1" s="1"/>
  <c r="L38" i="1"/>
  <c r="N38" i="1" s="1"/>
  <c r="L39" i="1"/>
  <c r="N39" i="1" s="1"/>
  <c r="L40" i="1"/>
  <c r="M40" i="1" s="1"/>
  <c r="L41" i="1"/>
  <c r="M41" i="1" s="1"/>
  <c r="L42" i="1"/>
  <c r="L43" i="1"/>
  <c r="M43" i="1" s="1"/>
  <c r="L44" i="1"/>
  <c r="N44" i="1" s="1"/>
  <c r="L45" i="1"/>
  <c r="N45" i="1" s="1"/>
  <c r="F4" i="1" l="1"/>
  <c r="F3" i="1"/>
  <c r="G3" i="1"/>
  <c r="F2" i="1"/>
  <c r="W8" i="1" s="1"/>
  <c r="G2" i="1"/>
  <c r="F5" i="1"/>
  <c r="F17" i="1"/>
  <c r="F29" i="1"/>
  <c r="F41" i="1"/>
  <c r="F6" i="1"/>
  <c r="F18" i="1"/>
  <c r="F30" i="1"/>
  <c r="F42" i="1"/>
  <c r="F7" i="1"/>
  <c r="F19" i="1"/>
  <c r="F31" i="1"/>
  <c r="F43" i="1"/>
  <c r="F8" i="1"/>
  <c r="F20" i="1"/>
  <c r="F32" i="1"/>
  <c r="F44" i="1"/>
  <c r="F9" i="1"/>
  <c r="F21" i="1"/>
  <c r="F33" i="1"/>
  <c r="F45" i="1"/>
  <c r="F10" i="1"/>
  <c r="F22" i="1"/>
  <c r="F34" i="1"/>
  <c r="F11" i="1"/>
  <c r="F23" i="1"/>
  <c r="F35" i="1"/>
  <c r="F12" i="1"/>
  <c r="F24" i="1"/>
  <c r="F36" i="1"/>
  <c r="F13" i="1"/>
  <c r="F25" i="1"/>
  <c r="F37" i="1"/>
  <c r="F14" i="1"/>
  <c r="F26" i="1"/>
  <c r="F38" i="1"/>
  <c r="F15" i="1"/>
  <c r="F27" i="1"/>
  <c r="F39" i="1"/>
  <c r="F16" i="1"/>
  <c r="F28" i="1"/>
  <c r="F40" i="1"/>
  <c r="AB8" i="1"/>
  <c r="U21" i="1"/>
  <c r="U13" i="1"/>
  <c r="U41" i="1"/>
  <c r="U9" i="1"/>
  <c r="U37" i="1"/>
  <c r="U5" i="1"/>
  <c r="U33" i="1"/>
  <c r="U29" i="1"/>
  <c r="T6" i="1"/>
  <c r="T14" i="1"/>
  <c r="T26" i="1"/>
  <c r="T34" i="1"/>
  <c r="U2" i="1"/>
  <c r="U22" i="1"/>
  <c r="U42" i="1"/>
  <c r="T7" i="1"/>
  <c r="T15" i="1"/>
  <c r="T27" i="1"/>
  <c r="T35" i="1"/>
  <c r="T39" i="1"/>
  <c r="U3" i="1"/>
  <c r="U11" i="1"/>
  <c r="U19" i="1"/>
  <c r="U43" i="1"/>
  <c r="T8" i="1"/>
  <c r="T16" i="1"/>
  <c r="T24" i="1"/>
  <c r="T32" i="1"/>
  <c r="T44" i="1"/>
  <c r="U4" i="1"/>
  <c r="U12" i="1"/>
  <c r="U40" i="1"/>
  <c r="T10" i="1"/>
  <c r="T30" i="1"/>
  <c r="T38" i="1"/>
  <c r="T23" i="1"/>
  <c r="T20" i="1"/>
  <c r="T28" i="1"/>
  <c r="T36" i="1"/>
  <c r="T45" i="1"/>
  <c r="T18" i="1"/>
  <c r="M39" i="1"/>
  <c r="N27" i="1"/>
  <c r="M44" i="1"/>
  <c r="M45" i="1"/>
  <c r="N36" i="1"/>
  <c r="N35" i="1"/>
  <c r="N34" i="1"/>
  <c r="N33" i="1"/>
  <c r="N32" i="1"/>
  <c r="N11" i="1"/>
  <c r="N10" i="1"/>
  <c r="M14" i="1"/>
  <c r="M15" i="1"/>
  <c r="N9" i="1"/>
  <c r="M20" i="1"/>
  <c r="N21" i="1"/>
  <c r="M22" i="1"/>
  <c r="N16" i="1"/>
  <c r="N42" i="1"/>
  <c r="M42" i="1"/>
  <c r="N17" i="1"/>
  <c r="M17" i="1"/>
  <c r="M24" i="1"/>
  <c r="N24" i="1"/>
  <c r="N23" i="1"/>
  <c r="N30" i="1"/>
  <c r="M30" i="1"/>
  <c r="M12" i="1"/>
  <c r="N12" i="1"/>
  <c r="N28" i="1"/>
  <c r="N29" i="1"/>
  <c r="N41" i="1"/>
  <c r="M13" i="1"/>
  <c r="M37" i="1"/>
  <c r="N40" i="1"/>
  <c r="M38" i="1"/>
  <c r="M25" i="1"/>
  <c r="M18" i="1"/>
  <c r="N18" i="1"/>
  <c r="M26" i="1"/>
  <c r="N19" i="1"/>
  <c r="N43" i="1"/>
  <c r="N31" i="1"/>
  <c r="AG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2" i="1"/>
  <c r="W2" i="1" l="1"/>
  <c r="N5" i="1"/>
  <c r="N4" i="1"/>
  <c r="N2" i="1"/>
  <c r="M2" i="1"/>
  <c r="N3" i="1"/>
  <c r="N7" i="1"/>
  <c r="N6" i="1"/>
  <c r="N8" i="1"/>
  <c r="X4" i="1" l="1"/>
  <c r="X5" i="1" s="1"/>
  <c r="W4" i="1" l="1"/>
  <c r="W5" i="1" s="1"/>
  <c r="AB10" i="1"/>
  <c r="AB6" i="1"/>
  <c r="AB9" i="1" s="1"/>
</calcChain>
</file>

<file path=xl/sharedStrings.xml><?xml version="1.0" encoding="utf-8"?>
<sst xmlns="http://schemas.openxmlformats.org/spreadsheetml/2006/main" count="36" uniqueCount="17">
  <si>
    <t>Data</t>
  </si>
  <si>
    <t>Dia semana</t>
  </si>
  <si>
    <t>Segundos</t>
  </si>
  <si>
    <t xml:space="preserve">Hora </t>
  </si>
  <si>
    <t>Minuto</t>
  </si>
  <si>
    <t>Diferença</t>
  </si>
  <si>
    <t>Totlal Segundos</t>
  </si>
  <si>
    <t>Totlal Hora</t>
  </si>
  <si>
    <t>Hora teste</t>
  </si>
  <si>
    <t>Segundos dia</t>
  </si>
  <si>
    <t>Segundos sexta</t>
  </si>
  <si>
    <t>TA Segundos</t>
  </si>
  <si>
    <t>TS Segundos</t>
  </si>
  <si>
    <t>TAS Atual</t>
  </si>
  <si>
    <t>TA %</t>
  </si>
  <si>
    <t>TS %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</si>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</sst>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0" fillId="2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tabSelected="1" workbookViewId="0">
      <selection activeCell="Y13" sqref="Y13:Y14"/>
    </sheetView>
  </sheetViews>
  <sheetFormatPr defaultRowHeight="15" x14ac:dyDescent="0.25"/>
  <cols>
    <col min="1" max="1" width="3.7109375" customWidth="1"/>
    <col min="2" max="3" width="3.5703125" customWidth="1"/>
    <col min="4" max="4" width="11" style="1" customWidth="1"/>
    <col min="5" max="5" width="4.140625" customWidth="1"/>
    <col min="6" max="6" width="6.85546875" customWidth="1"/>
    <col min="7" max="7" width="7" customWidth="1"/>
    <col min="8" max="8" width="3.28515625" style="6" customWidth="1"/>
    <col min="9" max="9" width="4.85546875" customWidth="1"/>
    <col min="10" max="10" width="4.28515625" customWidth="1"/>
    <col min="11" max="11" width="11.28515625" style="1" customWidth="1"/>
    <col min="12" max="12" width="5.140625" customWidth="1"/>
    <col min="13" max="13" width="6.85546875" customWidth="1"/>
    <col min="14" max="14" width="7" customWidth="1"/>
    <col min="15" max="15" width="3.28515625" style="6" customWidth="1"/>
    <col min="16" max="16" width="4" customWidth="1"/>
    <col min="17" max="17" width="3.85546875" customWidth="1"/>
    <col min="18" max="18" width="11.28515625" style="1" customWidth="1"/>
    <col min="19" max="19" width="5.5703125" customWidth="1"/>
    <col min="20" max="20" width="6.85546875" customWidth="1"/>
    <col min="21" max="21" width="7" customWidth="1"/>
    <col min="22" max="22" width="4" style="6" customWidth="1"/>
    <col min="23" max="23" width="8.42578125" customWidth="1"/>
    <col min="24" max="25" width="10.5703125" customWidth="1"/>
    <col min="26" max="26" width="6" customWidth="1"/>
    <col min="27" max="27" width="10.7109375" customWidth="1"/>
    <col min="34" max="34" width="12.42578125" bestFit="1" customWidth="1"/>
  </cols>
  <sheetData>
    <row r="1" spans="1:33" x14ac:dyDescent="0.25">
      <c r="A1" t="s">
        <v>3</v>
      </c>
      <c r="B1" t="s">
        <v>4</v>
      </c>
      <c r="C1" t="s">
        <v>2</v>
      </c>
      <c r="D1" s="1" t="s">
        <v>0</v>
      </c>
      <c r="E1" t="s">
        <v>1</v>
      </c>
      <c r="F1" t="s">
        <v>5</v>
      </c>
      <c r="G1" t="s">
        <v>2</v>
      </c>
      <c r="H1" s="6" t="s">
        <v>16</v>
      </c>
      <c r="I1" t="s">
        <v>3</v>
      </c>
      <c r="J1" t="s">
        <v>4</v>
      </c>
      <c r="K1" s="1" t="s">
        <v>0</v>
      </c>
      <c r="L1" t="s">
        <v>1</v>
      </c>
      <c r="M1" t="s">
        <v>5</v>
      </c>
      <c r="N1" t="s">
        <v>2</v>
      </c>
      <c r="O1" s="6" t="s">
        <v>16</v>
      </c>
      <c r="P1" t="s">
        <v>3</v>
      </c>
      <c r="Q1" t="s">
        <v>4</v>
      </c>
      <c r="R1" s="1" t="s">
        <v>0</v>
      </c>
      <c r="S1" t="s">
        <v>1</v>
      </c>
      <c r="T1" t="s">
        <v>5</v>
      </c>
      <c r="U1" t="s">
        <v>2</v>
      </c>
      <c r="V1" s="6" t="s">
        <v>16</v>
      </c>
      <c r="W1" t="s">
        <v>6</v>
      </c>
      <c r="X1" t="s">
        <v>6</v>
      </c>
      <c r="Y1" t="s">
        <v>6</v>
      </c>
      <c r="AA1" t="s">
        <v>8</v>
      </c>
      <c r="AB1" s="3">
        <v>10.55</v>
      </c>
    </row>
    <row r="2" spans="1:33" x14ac:dyDescent="0.25">
      <c r="A2">
        <v>9</v>
      </c>
      <c r="B2">
        <v>40</v>
      </c>
      <c r="C2">
        <v>9</v>
      </c>
      <c r="D2" s="1">
        <v>45145</v>
      </c>
      <c r="E2">
        <f t="shared" ref="E2:E46" si="0">WEEKDAY(D2,2)</f>
        <v>1</v>
      </c>
      <c r="F2" t="str">
        <f>IF(E2&lt;5,((16-A2)&amp;":"&amp;(60-B2-1)&amp;":"&amp;(60-C2)),IF(E2=5,((15-A2)&amp;":"&amp;(60-B2-1)&amp;":"&amp;(60-C2)),0))</f>
        <v>7:19:51</v>
      </c>
      <c r="G2">
        <f>IF(E2&lt;5,((((16-A2)*60)*60)+((60-B2-1)*60)+(60-C2)),IF(E2=5,((((15-A2)*60)*60)+((60-B2-1)*60)+(60-C2)),0))</f>
        <v>26391</v>
      </c>
      <c r="I2">
        <v>8</v>
      </c>
      <c r="J2">
        <v>27</v>
      </c>
      <c r="K2" s="1">
        <v>45202</v>
      </c>
      <c r="L2">
        <f t="shared" ref="L2:L45" si="1">WEEKDAY(K2,2)</f>
        <v>2</v>
      </c>
      <c r="M2" t="str">
        <f>IF(L2&lt;5,((16-I2)&amp;":"&amp;(60-J2)),IF(L2=5,((15-I2)&amp;":"&amp;(60-J2)),0))</f>
        <v>8:33</v>
      </c>
      <c r="N2">
        <f>IF(L2&lt;5,((((16-I2)*60)*60)+((60-J2)*60)),IF(L2=5,((((15-I2)*60)*60)+((60-J2)*60)),0))</f>
        <v>30780</v>
      </c>
      <c r="P2">
        <v>8</v>
      </c>
      <c r="Q2">
        <v>27</v>
      </c>
      <c r="R2" s="1">
        <v>45202</v>
      </c>
      <c r="S2">
        <f t="shared" ref="S2:S45" si="2">WEEKDAY(R2,2)</f>
        <v>2</v>
      </c>
      <c r="T2" t="str">
        <f>IF(S2&lt;5,((16-P2)&amp;":"&amp;(60-Q2)),IF(S2=5,((15-P2)&amp;":"&amp;(60-Q2)),0))</f>
        <v>8:33</v>
      </c>
      <c r="U2">
        <f>IF(S2&lt;5,((((16-P2)*60)*60)+((60-Q2)*60)),IF(S2=5,((((15-P2)*60)*60)+((60-Q2)*60)),0))</f>
        <v>30780</v>
      </c>
      <c r="W2">
        <f>SUM(G:G)</f>
        <v>1001199</v>
      </c>
      <c r="X2">
        <f>SUM(N:N)</f>
        <v>366900</v>
      </c>
      <c r="Y2">
        <f>SUM(U:U)</f>
        <v>366900</v>
      </c>
      <c r="AG2">
        <f t="shared" ref="AG2" si="3">IF(AND(AC2=0,AD2=0),IF(AF2&lt;5,((17-7)*60)*60,IF(AF2=5,((16-7)*60)*60,0)),(AD2*60)+(((AC2-7)*60)*60))</f>
        <v>36000</v>
      </c>
    </row>
    <row r="3" spans="1:33" x14ac:dyDescent="0.25">
      <c r="A3">
        <v>0</v>
      </c>
      <c r="B3">
        <v>0</v>
      </c>
      <c r="C3">
        <v>0</v>
      </c>
      <c r="D3" s="1">
        <v>45146</v>
      </c>
      <c r="E3">
        <f t="shared" si="0"/>
        <v>2</v>
      </c>
      <c r="F3" t="str">
        <f t="shared" ref="F3:F46" si="4">IF(AND(A3=0,B3=0,E3&lt;5),"10:00",IF(AND(A3=0,B3=0,E3=5),"09:00",IF(OR(A3&gt;0,B3&gt;0),A3-7&amp;":"&amp;B3&amp;":"&amp;C3,0)))</f>
        <v>10:00</v>
      </c>
      <c r="G3">
        <f>IF(AND(A3=0,B3=0),IF(E3&lt;5,((17-7)*60)*60,IF(E3=5,((16-7)*60)*60,0)),C3+(B3*60)+(((A3-7)*60)*60))</f>
        <v>36000</v>
      </c>
      <c r="I3">
        <v>0</v>
      </c>
      <c r="J3">
        <v>0</v>
      </c>
      <c r="K3" s="1">
        <v>45203</v>
      </c>
      <c r="L3">
        <f t="shared" si="1"/>
        <v>3</v>
      </c>
      <c r="M3" t="str">
        <f t="shared" ref="M3:M45" si="5">IF(AND(I3=0,J3=0,L3&lt;5),"10:00",IF(AND(I3=0,J3=0,L3=5),"09:00",IF(OR(I3&gt;0,J3&gt;0),I3-7&amp;":"&amp;J3,0)))</f>
        <v>10:00</v>
      </c>
      <c r="N3">
        <f t="shared" ref="N3:N45" si="6">IF(AND(I3=0,J3=0),IF(L3&lt;5,((17-7)*60)*60,IF(L3=5,((16-7)*60)*60,0)),(J3*60)+(((I3-7)*60)*60))</f>
        <v>36000</v>
      </c>
      <c r="P3">
        <v>0</v>
      </c>
      <c r="Q3">
        <v>0</v>
      </c>
      <c r="R3" s="1">
        <v>45203</v>
      </c>
      <c r="S3">
        <f t="shared" si="2"/>
        <v>3</v>
      </c>
      <c r="T3" t="str">
        <f t="shared" ref="T3:T45" si="7">IF(AND(P3=0,Q3=0,S3&lt;5),"10:00",IF(AND(P3=0,Q3=0,S3=5),"09:00",IF(OR(P3&gt;0,Q3&gt;0),P3-7&amp;":"&amp;Q3,0)))</f>
        <v>10:00</v>
      </c>
      <c r="U3">
        <f t="shared" ref="U3:U45" si="8">IF(AND(P3=0,Q3=0),IF(S3&lt;5,((17-7)*60)*60,IF(S3=5,((16-7)*60)*60,0)),(Q3*60)+(((P3-7)*60)*60))</f>
        <v>36000</v>
      </c>
      <c r="W3">
        <v>361635</v>
      </c>
      <c r="X3">
        <v>361635</v>
      </c>
      <c r="Y3">
        <v>361635</v>
      </c>
      <c r="AA3" s="4" t="s">
        <v>9</v>
      </c>
      <c r="AB3">
        <v>36000</v>
      </c>
      <c r="AC3" s="2"/>
      <c r="AD3" s="2"/>
      <c r="AE3" s="2"/>
    </row>
    <row r="4" spans="1:33" x14ac:dyDescent="0.25">
      <c r="A4">
        <v>0</v>
      </c>
      <c r="B4">
        <v>0</v>
      </c>
      <c r="C4">
        <v>0</v>
      </c>
      <c r="D4" s="1">
        <v>45147</v>
      </c>
      <c r="E4">
        <f t="shared" si="0"/>
        <v>3</v>
      </c>
      <c r="F4" t="str">
        <f t="shared" si="4"/>
        <v>10:00</v>
      </c>
      <c r="G4">
        <f t="shared" ref="G4:G46" si="9">IF(AND(A4=0,B4=0),IF(E4&lt;5,((17-7)*60)*60,IF(E4=5,((16-7)*60)*60,0)),C4+(B4*60)+(((A4-7)*60)*60))</f>
        <v>36000</v>
      </c>
      <c r="I4">
        <v>0</v>
      </c>
      <c r="J4">
        <v>0</v>
      </c>
      <c r="K4" s="1">
        <v>45204</v>
      </c>
      <c r="L4">
        <f t="shared" si="1"/>
        <v>4</v>
      </c>
      <c r="M4" t="str">
        <f t="shared" si="5"/>
        <v>10:00</v>
      </c>
      <c r="N4">
        <f t="shared" si="6"/>
        <v>36000</v>
      </c>
      <c r="P4">
        <v>0</v>
      </c>
      <c r="Q4">
        <v>0</v>
      </c>
      <c r="R4" s="1">
        <v>45204</v>
      </c>
      <c r="S4">
        <f t="shared" si="2"/>
        <v>4</v>
      </c>
      <c r="T4" t="str">
        <f t="shared" si="7"/>
        <v>10:00</v>
      </c>
      <c r="U4">
        <f t="shared" si="8"/>
        <v>36000</v>
      </c>
      <c r="W4">
        <f>W3-W2</f>
        <v>-639564</v>
      </c>
      <c r="X4">
        <f>X3-X2</f>
        <v>-5265</v>
      </c>
      <c r="Y4">
        <f>Y3-Y2</f>
        <v>-5265</v>
      </c>
      <c r="AA4" t="s">
        <v>10</v>
      </c>
      <c r="AB4">
        <v>32400</v>
      </c>
    </row>
    <row r="5" spans="1:33" x14ac:dyDescent="0.25">
      <c r="A5">
        <v>0</v>
      </c>
      <c r="B5">
        <v>0</v>
      </c>
      <c r="C5">
        <v>0</v>
      </c>
      <c r="D5" s="1">
        <v>45148</v>
      </c>
      <c r="E5">
        <f t="shared" si="0"/>
        <v>4</v>
      </c>
      <c r="F5" t="str">
        <f t="shared" si="4"/>
        <v>10:00</v>
      </c>
      <c r="G5">
        <f t="shared" si="9"/>
        <v>36000</v>
      </c>
      <c r="I5">
        <v>0</v>
      </c>
      <c r="J5">
        <v>0</v>
      </c>
      <c r="K5" s="1">
        <v>45205</v>
      </c>
      <c r="L5">
        <f t="shared" si="1"/>
        <v>5</v>
      </c>
      <c r="M5" t="str">
        <f t="shared" si="5"/>
        <v>09:00</v>
      </c>
      <c r="N5">
        <f t="shared" si="6"/>
        <v>32400</v>
      </c>
      <c r="P5">
        <v>0</v>
      </c>
      <c r="Q5">
        <v>0</v>
      </c>
      <c r="R5" s="1">
        <v>45205</v>
      </c>
      <c r="S5">
        <f t="shared" si="2"/>
        <v>5</v>
      </c>
      <c r="T5" t="str">
        <f t="shared" si="7"/>
        <v>09:00</v>
      </c>
      <c r="U5">
        <f t="shared" si="8"/>
        <v>32400</v>
      </c>
      <c r="W5">
        <f>W4/60/60</f>
        <v>-177.65666666666667</v>
      </c>
      <c r="X5">
        <f>X4/60/60</f>
        <v>-1.4624999999999999</v>
      </c>
      <c r="Y5">
        <f>Y4/60/60</f>
        <v>-1.4624999999999999</v>
      </c>
    </row>
    <row r="6" spans="1:33" x14ac:dyDescent="0.25">
      <c r="A6">
        <v>0</v>
      </c>
      <c r="B6">
        <v>0</v>
      </c>
      <c r="C6">
        <v>0</v>
      </c>
      <c r="D6" s="1">
        <v>45149</v>
      </c>
      <c r="E6">
        <f t="shared" si="0"/>
        <v>5</v>
      </c>
      <c r="F6" t="str">
        <f t="shared" si="4"/>
        <v>09:00</v>
      </c>
      <c r="G6">
        <f t="shared" si="9"/>
        <v>32400</v>
      </c>
      <c r="I6">
        <v>0</v>
      </c>
      <c r="J6">
        <v>0</v>
      </c>
      <c r="K6" s="1">
        <v>45206</v>
      </c>
      <c r="L6">
        <f t="shared" si="1"/>
        <v>6</v>
      </c>
      <c r="M6">
        <f t="shared" si="5"/>
        <v>0</v>
      </c>
      <c r="N6">
        <f t="shared" si="6"/>
        <v>0</v>
      </c>
      <c r="P6">
        <v>0</v>
      </c>
      <c r="Q6">
        <v>0</v>
      </c>
      <c r="R6" s="1">
        <v>45206</v>
      </c>
      <c r="S6">
        <f t="shared" si="2"/>
        <v>6</v>
      </c>
      <c r="T6">
        <f t="shared" si="7"/>
        <v>0</v>
      </c>
      <c r="U6">
        <f t="shared" si="8"/>
        <v>0</v>
      </c>
      <c r="W6" s="4"/>
      <c r="X6" s="4"/>
      <c r="Y6" s="4"/>
      <c r="Z6" s="4"/>
      <c r="AA6" t="s">
        <v>11</v>
      </c>
      <c r="AB6">
        <f>W2</f>
        <v>1001199</v>
      </c>
    </row>
    <row r="7" spans="1:33" x14ac:dyDescent="0.25">
      <c r="A7">
        <v>0</v>
      </c>
      <c r="B7">
        <v>0</v>
      </c>
      <c r="C7">
        <v>0</v>
      </c>
      <c r="D7" s="1">
        <v>45150</v>
      </c>
      <c r="E7">
        <f t="shared" si="0"/>
        <v>6</v>
      </c>
      <c r="F7">
        <f t="shared" si="4"/>
        <v>0</v>
      </c>
      <c r="G7">
        <f t="shared" si="9"/>
        <v>0</v>
      </c>
      <c r="I7">
        <v>0</v>
      </c>
      <c r="J7">
        <v>0</v>
      </c>
      <c r="K7" s="1">
        <v>45207</v>
      </c>
      <c r="L7">
        <f t="shared" si="1"/>
        <v>7</v>
      </c>
      <c r="M7">
        <f t="shared" si="5"/>
        <v>0</v>
      </c>
      <c r="N7">
        <f t="shared" si="6"/>
        <v>0</v>
      </c>
      <c r="P7">
        <v>0</v>
      </c>
      <c r="Q7">
        <v>0</v>
      </c>
      <c r="R7" s="1">
        <v>45207</v>
      </c>
      <c r="S7">
        <f t="shared" si="2"/>
        <v>7</v>
      </c>
      <c r="T7">
        <f t="shared" si="7"/>
        <v>0</v>
      </c>
      <c r="U7">
        <f t="shared" si="8"/>
        <v>0</v>
      </c>
      <c r="W7" t="s">
        <v>7</v>
      </c>
      <c r="X7" t="s">
        <v>7</v>
      </c>
      <c r="Y7" t="s">
        <v>7</v>
      </c>
      <c r="AA7" t="s">
        <v>12</v>
      </c>
      <c r="AB7">
        <f>X2</f>
        <v>366900</v>
      </c>
    </row>
    <row r="8" spans="1:33" x14ac:dyDescent="0.25">
      <c r="A8">
        <v>0</v>
      </c>
      <c r="B8">
        <v>0</v>
      </c>
      <c r="C8">
        <v>0</v>
      </c>
      <c r="D8" s="1">
        <v>45151</v>
      </c>
      <c r="E8">
        <f t="shared" si="0"/>
        <v>7</v>
      </c>
      <c r="F8">
        <f t="shared" si="4"/>
        <v>0</v>
      </c>
      <c r="G8">
        <f t="shared" si="9"/>
        <v>0</v>
      </c>
      <c r="I8">
        <v>0</v>
      </c>
      <c r="J8">
        <v>0</v>
      </c>
      <c r="K8" s="1">
        <v>45208</v>
      </c>
      <c r="L8">
        <f t="shared" si="1"/>
        <v>1</v>
      </c>
      <c r="M8" t="str">
        <f t="shared" si="5"/>
        <v>10:00</v>
      </c>
      <c r="N8">
        <f t="shared" si="6"/>
        <v>36000</v>
      </c>
      <c r="P8">
        <v>0</v>
      </c>
      <c r="Q8">
        <v>0</v>
      </c>
      <c r="R8" s="1">
        <v>45208</v>
      </c>
      <c r="S8">
        <f t="shared" si="2"/>
        <v>1</v>
      </c>
      <c r="T8" t="str">
        <f t="shared" si="7"/>
        <v>10:00</v>
      </c>
      <c r="U8">
        <f t="shared" si="8"/>
        <v>36000</v>
      </c>
      <c r="W8" s="4" t="str">
        <f>F2</f>
        <v>7:19:51</v>
      </c>
      <c r="X8" s="4">
        <f>N2+N3+N4+N5+N6+N7+N8+N9+N10+N11+N12+N13+N14+N15+N16+N17+N18+N19+N20+N21+N22+N23+N24+N25+N26+N27+N28+N29</f>
        <v>361680</v>
      </c>
      <c r="Y8" s="4">
        <f>U2+U3+U4+U5+U6+U7+U8+U9+U10+U11+U12+U13+U14+U15+U16+U17+U18+U19+U20+U21+U22+U23+U24+U25+U26+U27+U28+U29+U30</f>
        <v>361680</v>
      </c>
      <c r="Z8" s="4"/>
      <c r="AA8" t="s">
        <v>13</v>
      </c>
      <c r="AB8">
        <f>Y2</f>
        <v>366900</v>
      </c>
    </row>
    <row r="9" spans="1:33" x14ac:dyDescent="0.25">
      <c r="A9">
        <v>0</v>
      </c>
      <c r="B9">
        <v>0</v>
      </c>
      <c r="C9">
        <v>0</v>
      </c>
      <c r="D9" s="1">
        <v>45152</v>
      </c>
      <c r="E9">
        <f t="shared" si="0"/>
        <v>1</v>
      </c>
      <c r="F9" t="str">
        <f t="shared" si="4"/>
        <v>10:00</v>
      </c>
      <c r="G9">
        <f t="shared" si="9"/>
        <v>36000</v>
      </c>
      <c r="I9">
        <v>0</v>
      </c>
      <c r="J9">
        <v>0</v>
      </c>
      <c r="K9" s="1">
        <v>45209</v>
      </c>
      <c r="L9">
        <f t="shared" si="1"/>
        <v>2</v>
      </c>
      <c r="M9" t="str">
        <f t="shared" si="5"/>
        <v>10:00</v>
      </c>
      <c r="N9">
        <f t="shared" si="6"/>
        <v>36000</v>
      </c>
      <c r="P9">
        <v>0</v>
      </c>
      <c r="Q9">
        <v>0</v>
      </c>
      <c r="R9" s="1">
        <v>45209</v>
      </c>
      <c r="S9">
        <f t="shared" si="2"/>
        <v>2</v>
      </c>
      <c r="T9" t="str">
        <f t="shared" si="7"/>
        <v>10:00</v>
      </c>
      <c r="U9">
        <f t="shared" si="8"/>
        <v>36000</v>
      </c>
      <c r="AA9" t="s">
        <v>14</v>
      </c>
      <c r="AB9" s="5">
        <f>AB8/AB6</f>
        <v>0.36646061372414473</v>
      </c>
    </row>
    <row r="10" spans="1:33" x14ac:dyDescent="0.25">
      <c r="A10">
        <v>0</v>
      </c>
      <c r="B10">
        <v>0</v>
      </c>
      <c r="C10">
        <v>0</v>
      </c>
      <c r="E10">
        <f t="shared" si="0"/>
        <v>6</v>
      </c>
      <c r="F10">
        <f t="shared" si="4"/>
        <v>0</v>
      </c>
      <c r="G10">
        <f t="shared" si="9"/>
        <v>0</v>
      </c>
      <c r="I10">
        <v>0</v>
      </c>
      <c r="J10">
        <v>0</v>
      </c>
      <c r="K10" s="1">
        <v>45210</v>
      </c>
      <c r="L10">
        <f t="shared" si="1"/>
        <v>3</v>
      </c>
      <c r="M10" t="str">
        <f t="shared" si="5"/>
        <v>10:00</v>
      </c>
      <c r="N10">
        <f t="shared" si="6"/>
        <v>36000</v>
      </c>
      <c r="P10">
        <v>0</v>
      </c>
      <c r="Q10">
        <v>0</v>
      </c>
      <c r="R10" s="1">
        <v>45210</v>
      </c>
      <c r="S10">
        <f t="shared" si="2"/>
        <v>3</v>
      </c>
      <c r="T10" t="str">
        <f t="shared" si="7"/>
        <v>10:00</v>
      </c>
      <c r="U10">
        <f t="shared" si="8"/>
        <v>36000</v>
      </c>
      <c r="AA10" t="s">
        <v>15</v>
      </c>
      <c r="AB10" s="5">
        <f>AB8/AB7</f>
        <v>1</v>
      </c>
    </row>
    <row r="11" spans="1:33" x14ac:dyDescent="0.25">
      <c r="A11">
        <v>0</v>
      </c>
      <c r="B11">
        <v>0</v>
      </c>
      <c r="C11">
        <v>0</v>
      </c>
      <c r="D11" s="1">
        <v>45154</v>
      </c>
      <c r="E11">
        <f t="shared" si="0"/>
        <v>3</v>
      </c>
      <c r="F11" t="str">
        <f t="shared" si="4"/>
        <v>10:00</v>
      </c>
      <c r="G11">
        <f t="shared" si="9"/>
        <v>36000</v>
      </c>
      <c r="I11">
        <v>0</v>
      </c>
      <c r="J11">
        <v>0</v>
      </c>
      <c r="L11">
        <f t="shared" si="1"/>
        <v>6</v>
      </c>
      <c r="M11">
        <f t="shared" si="5"/>
        <v>0</v>
      </c>
      <c r="N11">
        <f t="shared" si="6"/>
        <v>0</v>
      </c>
      <c r="P11">
        <v>0</v>
      </c>
      <c r="Q11">
        <v>0</v>
      </c>
      <c r="S11">
        <f t="shared" si="2"/>
        <v>6</v>
      </c>
      <c r="T11">
        <f t="shared" si="7"/>
        <v>0</v>
      </c>
      <c r="U11">
        <f t="shared" si="8"/>
        <v>0</v>
      </c>
    </row>
    <row r="12" spans="1:33" x14ac:dyDescent="0.25">
      <c r="A12">
        <v>0</v>
      </c>
      <c r="B12">
        <v>0</v>
      </c>
      <c r="C12">
        <v>0</v>
      </c>
      <c r="D12" s="1">
        <v>45155</v>
      </c>
      <c r="E12">
        <f t="shared" si="0"/>
        <v>4</v>
      </c>
      <c r="F12" t="str">
        <f t="shared" si="4"/>
        <v>10:00</v>
      </c>
      <c r="G12">
        <f t="shared" si="9"/>
        <v>36000</v>
      </c>
      <c r="I12">
        <v>0</v>
      </c>
      <c r="J12">
        <v>0</v>
      </c>
      <c r="K12" s="1">
        <v>45212</v>
      </c>
      <c r="L12">
        <f t="shared" si="1"/>
        <v>5</v>
      </c>
      <c r="M12" t="str">
        <f t="shared" si="5"/>
        <v>09:00</v>
      </c>
      <c r="N12">
        <f t="shared" si="6"/>
        <v>32400</v>
      </c>
      <c r="P12">
        <v>0</v>
      </c>
      <c r="Q12">
        <v>0</v>
      </c>
      <c r="R12" s="1">
        <v>45212</v>
      </c>
      <c r="S12">
        <f t="shared" si="2"/>
        <v>5</v>
      </c>
      <c r="T12" t="str">
        <f t="shared" si="7"/>
        <v>09:00</v>
      </c>
      <c r="U12">
        <f t="shared" si="8"/>
        <v>32400</v>
      </c>
    </row>
    <row r="13" spans="1:33" x14ac:dyDescent="0.25">
      <c r="A13">
        <v>0</v>
      </c>
      <c r="B13">
        <v>0</v>
      </c>
      <c r="C13">
        <v>0</v>
      </c>
      <c r="D13" s="1">
        <v>45156</v>
      </c>
      <c r="E13">
        <f t="shared" si="0"/>
        <v>5</v>
      </c>
      <c r="F13" t="str">
        <f t="shared" si="4"/>
        <v>09:00</v>
      </c>
      <c r="G13">
        <f t="shared" si="9"/>
        <v>32400</v>
      </c>
      <c r="I13">
        <v>0</v>
      </c>
      <c r="J13">
        <v>0</v>
      </c>
      <c r="K13" s="1">
        <v>45213</v>
      </c>
      <c r="L13">
        <f t="shared" si="1"/>
        <v>6</v>
      </c>
      <c r="M13">
        <f t="shared" si="5"/>
        <v>0</v>
      </c>
      <c r="N13">
        <f t="shared" si="6"/>
        <v>0</v>
      </c>
      <c r="P13">
        <v>0</v>
      </c>
      <c r="Q13">
        <v>0</v>
      </c>
      <c r="R13" s="1">
        <v>45213</v>
      </c>
      <c r="S13">
        <f t="shared" si="2"/>
        <v>6</v>
      </c>
      <c r="T13">
        <f t="shared" si="7"/>
        <v>0</v>
      </c>
      <c r="U13">
        <f t="shared" si="8"/>
        <v>0</v>
      </c>
    </row>
    <row r="14" spans="1:33" x14ac:dyDescent="0.25">
      <c r="A14">
        <v>0</v>
      </c>
      <c r="B14">
        <v>0</v>
      </c>
      <c r="C14">
        <v>0</v>
      </c>
      <c r="D14" s="1">
        <v>45157</v>
      </c>
      <c r="E14">
        <f t="shared" si="0"/>
        <v>6</v>
      </c>
      <c r="F14">
        <f t="shared" si="4"/>
        <v>0</v>
      </c>
      <c r="G14">
        <f t="shared" si="9"/>
        <v>0</v>
      </c>
      <c r="I14">
        <v>0</v>
      </c>
      <c r="J14">
        <v>0</v>
      </c>
      <c r="K14" s="1">
        <v>45214</v>
      </c>
      <c r="L14">
        <f t="shared" si="1"/>
        <v>7</v>
      </c>
      <c r="M14">
        <f t="shared" si="5"/>
        <v>0</v>
      </c>
      <c r="N14">
        <f t="shared" si="6"/>
        <v>0</v>
      </c>
      <c r="P14">
        <v>0</v>
      </c>
      <c r="Q14">
        <v>0</v>
      </c>
      <c r="R14" s="1">
        <v>45214</v>
      </c>
      <c r="S14">
        <f t="shared" si="2"/>
        <v>7</v>
      </c>
      <c r="T14">
        <f t="shared" si="7"/>
        <v>0</v>
      </c>
      <c r="U14">
        <f t="shared" si="8"/>
        <v>0</v>
      </c>
    </row>
    <row r="15" spans="1:33" x14ac:dyDescent="0.25">
      <c r="A15">
        <v>0</v>
      </c>
      <c r="B15">
        <v>0</v>
      </c>
      <c r="C15">
        <v>0</v>
      </c>
      <c r="D15" s="1">
        <v>45158</v>
      </c>
      <c r="E15">
        <f t="shared" si="0"/>
        <v>7</v>
      </c>
      <c r="F15">
        <f t="shared" si="4"/>
        <v>0</v>
      </c>
      <c r="G15">
        <f t="shared" si="9"/>
        <v>0</v>
      </c>
      <c r="I15">
        <v>0</v>
      </c>
      <c r="J15">
        <v>0</v>
      </c>
      <c r="K15" s="1">
        <v>45215</v>
      </c>
      <c r="L15">
        <f t="shared" si="1"/>
        <v>1</v>
      </c>
      <c r="M15" t="str">
        <f t="shared" si="5"/>
        <v>10:00</v>
      </c>
      <c r="N15">
        <f t="shared" si="6"/>
        <v>36000</v>
      </c>
      <c r="P15">
        <v>0</v>
      </c>
      <c r="Q15">
        <v>0</v>
      </c>
      <c r="R15" s="1">
        <v>45215</v>
      </c>
      <c r="S15">
        <f t="shared" si="2"/>
        <v>1</v>
      </c>
      <c r="T15" t="str">
        <f t="shared" si="7"/>
        <v>10:00</v>
      </c>
      <c r="U15">
        <f t="shared" si="8"/>
        <v>36000</v>
      </c>
    </row>
    <row r="16" spans="1:33" x14ac:dyDescent="0.25">
      <c r="A16">
        <v>0</v>
      </c>
      <c r="B16">
        <v>0</v>
      </c>
      <c r="C16">
        <v>0</v>
      </c>
      <c r="D16" s="1">
        <v>45159</v>
      </c>
      <c r="E16">
        <f t="shared" si="0"/>
        <v>1</v>
      </c>
      <c r="F16" t="str">
        <f t="shared" si="4"/>
        <v>10:00</v>
      </c>
      <c r="G16">
        <f t="shared" si="9"/>
        <v>36000</v>
      </c>
      <c r="I16">
        <v>0</v>
      </c>
      <c r="J16">
        <v>0</v>
      </c>
      <c r="K16" s="1">
        <v>45216</v>
      </c>
      <c r="L16">
        <f t="shared" si="1"/>
        <v>2</v>
      </c>
      <c r="M16" t="str">
        <f t="shared" si="5"/>
        <v>10:00</v>
      </c>
      <c r="N16">
        <f t="shared" si="6"/>
        <v>36000</v>
      </c>
      <c r="P16">
        <v>0</v>
      </c>
      <c r="Q16">
        <v>0</v>
      </c>
      <c r="R16" s="1">
        <v>45216</v>
      </c>
      <c r="S16">
        <f t="shared" si="2"/>
        <v>2</v>
      </c>
      <c r="T16" t="str">
        <f t="shared" si="7"/>
        <v>10:00</v>
      </c>
      <c r="U16">
        <f t="shared" si="8"/>
        <v>36000</v>
      </c>
    </row>
    <row r="17" spans="1:25" x14ac:dyDescent="0.25">
      <c r="A17">
        <v>0</v>
      </c>
      <c r="B17">
        <v>0</v>
      </c>
      <c r="C17">
        <v>0</v>
      </c>
      <c r="D17" s="1">
        <v>45160</v>
      </c>
      <c r="E17">
        <f t="shared" si="0"/>
        <v>2</v>
      </c>
      <c r="F17" t="str">
        <f t="shared" si="4"/>
        <v>10:00</v>
      </c>
      <c r="G17">
        <f t="shared" si="9"/>
        <v>36000</v>
      </c>
      <c r="I17">
        <v>10</v>
      </c>
      <c r="J17">
        <v>55</v>
      </c>
      <c r="K17" s="1">
        <v>45217</v>
      </c>
      <c r="L17">
        <f t="shared" si="1"/>
        <v>3</v>
      </c>
      <c r="M17" t="str">
        <f t="shared" si="5"/>
        <v>3:55</v>
      </c>
      <c r="N17">
        <f t="shared" si="6"/>
        <v>14100</v>
      </c>
      <c r="P17">
        <v>10</v>
      </c>
      <c r="Q17">
        <v>55</v>
      </c>
      <c r="R17" s="1">
        <v>45217</v>
      </c>
      <c r="S17">
        <f t="shared" si="2"/>
        <v>3</v>
      </c>
      <c r="T17" t="str">
        <f t="shared" si="7"/>
        <v>3:55</v>
      </c>
      <c r="U17">
        <f t="shared" si="8"/>
        <v>14100</v>
      </c>
      <c r="Y17" s="2">
        <v>0.47238425925925925</v>
      </c>
    </row>
    <row r="18" spans="1:25" x14ac:dyDescent="0.25">
      <c r="A18">
        <v>0</v>
      </c>
      <c r="B18">
        <v>0</v>
      </c>
      <c r="C18">
        <v>0</v>
      </c>
      <c r="D18" s="1">
        <v>45161</v>
      </c>
      <c r="E18">
        <f t="shared" si="0"/>
        <v>3</v>
      </c>
      <c r="F18" t="str">
        <f t="shared" si="4"/>
        <v>10:00</v>
      </c>
      <c r="G18">
        <f t="shared" si="9"/>
        <v>36000</v>
      </c>
      <c r="I18">
        <v>0</v>
      </c>
      <c r="J18">
        <v>0</v>
      </c>
      <c r="L18">
        <f t="shared" si="1"/>
        <v>6</v>
      </c>
      <c r="M18">
        <f t="shared" si="5"/>
        <v>0</v>
      </c>
      <c r="N18">
        <f t="shared" si="6"/>
        <v>0</v>
      </c>
      <c r="P18">
        <v>0</v>
      </c>
      <c r="Q18">
        <v>0</v>
      </c>
      <c r="S18">
        <f t="shared" si="2"/>
        <v>6</v>
      </c>
      <c r="T18">
        <f t="shared" si="7"/>
        <v>0</v>
      </c>
      <c r="U18">
        <f t="shared" si="8"/>
        <v>0</v>
      </c>
      <c r="Y18">
        <f>HOUR(Y17)</f>
        <v>11</v>
      </c>
    </row>
    <row r="19" spans="1:25" x14ac:dyDescent="0.25">
      <c r="A19">
        <v>0</v>
      </c>
      <c r="B19">
        <v>0</v>
      </c>
      <c r="C19">
        <v>0</v>
      </c>
      <c r="D19" s="1">
        <v>45162</v>
      </c>
      <c r="E19">
        <f t="shared" si="0"/>
        <v>4</v>
      </c>
      <c r="F19" t="str">
        <f t="shared" si="4"/>
        <v>10:00</v>
      </c>
      <c r="G19">
        <f t="shared" si="9"/>
        <v>36000</v>
      </c>
      <c r="I19">
        <v>0</v>
      </c>
      <c r="J19">
        <v>0</v>
      </c>
      <c r="L19">
        <f t="shared" si="1"/>
        <v>6</v>
      </c>
      <c r="M19">
        <f t="shared" si="5"/>
        <v>0</v>
      </c>
      <c r="N19">
        <f t="shared" si="6"/>
        <v>0</v>
      </c>
      <c r="P19">
        <v>0</v>
      </c>
      <c r="Q19">
        <v>0</v>
      </c>
      <c r="S19">
        <f t="shared" si="2"/>
        <v>6</v>
      </c>
      <c r="T19">
        <f t="shared" si="7"/>
        <v>0</v>
      </c>
      <c r="U19">
        <f t="shared" si="8"/>
        <v>0</v>
      </c>
      <c r="Y19">
        <f>MINUTE(Y17)</f>
        <v>20</v>
      </c>
    </row>
    <row r="20" spans="1:25" x14ac:dyDescent="0.25">
      <c r="A20">
        <v>0</v>
      </c>
      <c r="B20">
        <v>0</v>
      </c>
      <c r="C20">
        <v>0</v>
      </c>
      <c r="D20" s="1">
        <v>45163</v>
      </c>
      <c r="E20">
        <f t="shared" si="0"/>
        <v>5</v>
      </c>
      <c r="F20" t="str">
        <f t="shared" si="4"/>
        <v>09:00</v>
      </c>
      <c r="G20">
        <f t="shared" si="9"/>
        <v>32400</v>
      </c>
      <c r="I20">
        <v>0</v>
      </c>
      <c r="J20">
        <v>0</v>
      </c>
      <c r="L20">
        <f t="shared" si="1"/>
        <v>6</v>
      </c>
      <c r="M20">
        <f t="shared" si="5"/>
        <v>0</v>
      </c>
      <c r="N20">
        <f t="shared" si="6"/>
        <v>0</v>
      </c>
      <c r="P20">
        <v>0</v>
      </c>
      <c r="Q20">
        <v>0</v>
      </c>
      <c r="S20">
        <f t="shared" si="2"/>
        <v>6</v>
      </c>
      <c r="T20">
        <f t="shared" si="7"/>
        <v>0</v>
      </c>
      <c r="U20">
        <f t="shared" si="8"/>
        <v>0</v>
      </c>
      <c r="Y20">
        <f>SECOND(Y17)</f>
        <v>14</v>
      </c>
    </row>
    <row r="21" spans="1:25" x14ac:dyDescent="0.25">
      <c r="A21">
        <v>0</v>
      </c>
      <c r="B21">
        <v>0</v>
      </c>
      <c r="C21">
        <v>0</v>
      </c>
      <c r="D21" s="1">
        <v>45164</v>
      </c>
      <c r="E21">
        <f t="shared" si="0"/>
        <v>6</v>
      </c>
      <c r="F21">
        <f t="shared" si="4"/>
        <v>0</v>
      </c>
      <c r="G21">
        <f t="shared" si="9"/>
        <v>0</v>
      </c>
      <c r="I21">
        <v>0</v>
      </c>
      <c r="J21">
        <v>0</v>
      </c>
      <c r="L21">
        <f t="shared" si="1"/>
        <v>6</v>
      </c>
      <c r="M21">
        <f t="shared" si="5"/>
        <v>0</v>
      </c>
      <c r="N21">
        <f t="shared" si="6"/>
        <v>0</v>
      </c>
      <c r="P21">
        <v>0</v>
      </c>
      <c r="Q21">
        <v>0</v>
      </c>
      <c r="S21">
        <f t="shared" si="2"/>
        <v>6</v>
      </c>
      <c r="T21">
        <f t="shared" si="7"/>
        <v>0</v>
      </c>
      <c r="U21">
        <f t="shared" si="8"/>
        <v>0</v>
      </c>
    </row>
    <row r="22" spans="1:25" x14ac:dyDescent="0.25">
      <c r="A22">
        <v>0</v>
      </c>
      <c r="B22">
        <v>0</v>
      </c>
      <c r="C22">
        <v>0</v>
      </c>
      <c r="D22" s="1">
        <v>45165</v>
      </c>
      <c r="E22">
        <f t="shared" si="0"/>
        <v>7</v>
      </c>
      <c r="F22">
        <f t="shared" si="4"/>
        <v>0</v>
      </c>
      <c r="G22">
        <f t="shared" si="9"/>
        <v>0</v>
      </c>
      <c r="I22">
        <v>0</v>
      </c>
      <c r="J22">
        <v>0</v>
      </c>
      <c r="L22">
        <f t="shared" si="1"/>
        <v>6</v>
      </c>
      <c r="M22">
        <f t="shared" si="5"/>
        <v>0</v>
      </c>
      <c r="N22">
        <f t="shared" si="6"/>
        <v>0</v>
      </c>
      <c r="P22">
        <v>0</v>
      </c>
      <c r="Q22">
        <v>0</v>
      </c>
      <c r="S22">
        <f t="shared" si="2"/>
        <v>6</v>
      </c>
      <c r="T22">
        <f t="shared" si="7"/>
        <v>0</v>
      </c>
      <c r="U22">
        <f t="shared" si="8"/>
        <v>0</v>
      </c>
    </row>
    <row r="23" spans="1:25" x14ac:dyDescent="0.25">
      <c r="A23">
        <v>0</v>
      </c>
      <c r="B23">
        <v>0</v>
      </c>
      <c r="C23">
        <v>0</v>
      </c>
      <c r="D23" s="1">
        <v>45166</v>
      </c>
      <c r="E23">
        <f t="shared" si="0"/>
        <v>1</v>
      </c>
      <c r="F23" t="str">
        <f t="shared" si="4"/>
        <v>10:00</v>
      </c>
      <c r="G23">
        <f t="shared" si="9"/>
        <v>36000</v>
      </c>
      <c r="I23">
        <v>0</v>
      </c>
      <c r="J23">
        <v>0</v>
      </c>
      <c r="L23">
        <f t="shared" si="1"/>
        <v>6</v>
      </c>
      <c r="M23">
        <f t="shared" si="5"/>
        <v>0</v>
      </c>
      <c r="N23">
        <f t="shared" si="6"/>
        <v>0</v>
      </c>
      <c r="P23">
        <v>0</v>
      </c>
      <c r="Q23">
        <v>0</v>
      </c>
      <c r="S23">
        <f t="shared" si="2"/>
        <v>6</v>
      </c>
      <c r="T23">
        <f t="shared" si="7"/>
        <v>0</v>
      </c>
      <c r="U23">
        <f t="shared" si="8"/>
        <v>0</v>
      </c>
    </row>
    <row r="24" spans="1:25" x14ac:dyDescent="0.25">
      <c r="A24">
        <v>0</v>
      </c>
      <c r="B24">
        <v>0</v>
      </c>
      <c r="C24">
        <v>0</v>
      </c>
      <c r="D24" s="1">
        <v>45167</v>
      </c>
      <c r="E24">
        <f t="shared" si="0"/>
        <v>2</v>
      </c>
      <c r="F24" t="str">
        <f t="shared" si="4"/>
        <v>10:00</v>
      </c>
      <c r="G24">
        <f t="shared" si="9"/>
        <v>36000</v>
      </c>
      <c r="I24">
        <v>0</v>
      </c>
      <c r="J24">
        <v>0</v>
      </c>
      <c r="L24">
        <f t="shared" si="1"/>
        <v>6</v>
      </c>
      <c r="M24">
        <f t="shared" si="5"/>
        <v>0</v>
      </c>
      <c r="N24">
        <f t="shared" si="6"/>
        <v>0</v>
      </c>
      <c r="P24">
        <v>0</v>
      </c>
      <c r="Q24">
        <v>0</v>
      </c>
      <c r="S24">
        <f t="shared" si="2"/>
        <v>6</v>
      </c>
      <c r="T24">
        <f t="shared" si="7"/>
        <v>0</v>
      </c>
      <c r="U24">
        <f t="shared" si="8"/>
        <v>0</v>
      </c>
    </row>
    <row r="25" spans="1:25" x14ac:dyDescent="0.25">
      <c r="A25">
        <v>0</v>
      </c>
      <c r="B25">
        <v>0</v>
      </c>
      <c r="C25">
        <v>0</v>
      </c>
      <c r="D25" s="1">
        <v>45168</v>
      </c>
      <c r="E25">
        <f t="shared" si="0"/>
        <v>3</v>
      </c>
      <c r="F25" t="str">
        <f t="shared" si="4"/>
        <v>10:00</v>
      </c>
      <c r="G25">
        <f t="shared" si="9"/>
        <v>36000</v>
      </c>
      <c r="I25">
        <v>0</v>
      </c>
      <c r="J25">
        <v>0</v>
      </c>
      <c r="L25">
        <f t="shared" si="1"/>
        <v>6</v>
      </c>
      <c r="M25">
        <f t="shared" si="5"/>
        <v>0</v>
      </c>
      <c r="N25">
        <f t="shared" si="6"/>
        <v>0</v>
      </c>
      <c r="P25">
        <v>0</v>
      </c>
      <c r="Q25">
        <v>0</v>
      </c>
      <c r="S25">
        <f t="shared" si="2"/>
        <v>6</v>
      </c>
      <c r="T25">
        <f t="shared" si="7"/>
        <v>0</v>
      </c>
      <c r="U25">
        <f t="shared" si="8"/>
        <v>0</v>
      </c>
    </row>
    <row r="26" spans="1:25" x14ac:dyDescent="0.25">
      <c r="A26">
        <v>0</v>
      </c>
      <c r="B26">
        <v>0</v>
      </c>
      <c r="C26">
        <v>0</v>
      </c>
      <c r="D26" s="1">
        <v>45169</v>
      </c>
      <c r="E26">
        <f t="shared" si="0"/>
        <v>4</v>
      </c>
      <c r="F26" t="str">
        <f t="shared" si="4"/>
        <v>10:00</v>
      </c>
      <c r="G26">
        <f t="shared" si="9"/>
        <v>36000</v>
      </c>
      <c r="I26">
        <v>0</v>
      </c>
      <c r="J26">
        <v>0</v>
      </c>
      <c r="L26">
        <f t="shared" si="1"/>
        <v>6</v>
      </c>
      <c r="M26">
        <f t="shared" si="5"/>
        <v>0</v>
      </c>
      <c r="N26">
        <f t="shared" si="6"/>
        <v>0</v>
      </c>
      <c r="P26">
        <v>0</v>
      </c>
      <c r="Q26">
        <v>0</v>
      </c>
      <c r="S26">
        <f t="shared" si="2"/>
        <v>6</v>
      </c>
      <c r="T26">
        <f t="shared" si="7"/>
        <v>0</v>
      </c>
      <c r="U26">
        <f t="shared" si="8"/>
        <v>0</v>
      </c>
    </row>
    <row r="27" spans="1:25" x14ac:dyDescent="0.25">
      <c r="A27">
        <v>0</v>
      </c>
      <c r="B27">
        <v>0</v>
      </c>
      <c r="C27">
        <v>0</v>
      </c>
      <c r="D27" s="1">
        <v>45170</v>
      </c>
      <c r="E27">
        <f t="shared" si="0"/>
        <v>5</v>
      </c>
      <c r="F27" t="str">
        <f t="shared" si="4"/>
        <v>09:00</v>
      </c>
      <c r="G27">
        <f t="shared" si="9"/>
        <v>32400</v>
      </c>
      <c r="I27">
        <v>0</v>
      </c>
      <c r="J27">
        <v>0</v>
      </c>
      <c r="L27">
        <f t="shared" si="1"/>
        <v>6</v>
      </c>
      <c r="M27">
        <f t="shared" si="5"/>
        <v>0</v>
      </c>
      <c r="N27">
        <f t="shared" si="6"/>
        <v>0</v>
      </c>
      <c r="P27">
        <v>0</v>
      </c>
      <c r="Q27">
        <v>0</v>
      </c>
      <c r="S27">
        <f t="shared" si="2"/>
        <v>6</v>
      </c>
      <c r="T27">
        <f t="shared" si="7"/>
        <v>0</v>
      </c>
      <c r="U27">
        <f t="shared" si="8"/>
        <v>0</v>
      </c>
    </row>
    <row r="28" spans="1:25" x14ac:dyDescent="0.25">
      <c r="A28">
        <v>0</v>
      </c>
      <c r="B28">
        <v>0</v>
      </c>
      <c r="C28">
        <v>0</v>
      </c>
      <c r="D28" s="1">
        <v>45171</v>
      </c>
      <c r="E28">
        <f t="shared" si="0"/>
        <v>6</v>
      </c>
      <c r="F28">
        <f t="shared" si="4"/>
        <v>0</v>
      </c>
      <c r="G28">
        <f t="shared" si="9"/>
        <v>0</v>
      </c>
      <c r="I28">
        <v>0</v>
      </c>
      <c r="J28">
        <v>0</v>
      </c>
      <c r="L28">
        <f t="shared" si="1"/>
        <v>6</v>
      </c>
      <c r="M28">
        <f t="shared" si="5"/>
        <v>0</v>
      </c>
      <c r="N28">
        <f t="shared" si="6"/>
        <v>0</v>
      </c>
      <c r="P28">
        <v>0</v>
      </c>
      <c r="Q28">
        <v>0</v>
      </c>
      <c r="S28">
        <f t="shared" si="2"/>
        <v>6</v>
      </c>
      <c r="T28">
        <f t="shared" si="7"/>
        <v>0</v>
      </c>
      <c r="U28">
        <f t="shared" si="8"/>
        <v>0</v>
      </c>
    </row>
    <row r="29" spans="1:25" x14ac:dyDescent="0.25">
      <c r="A29">
        <v>0</v>
      </c>
      <c r="B29">
        <v>0</v>
      </c>
      <c r="C29">
        <v>0</v>
      </c>
      <c r="D29" s="1">
        <v>45172</v>
      </c>
      <c r="E29">
        <f t="shared" si="0"/>
        <v>7</v>
      </c>
      <c r="F29">
        <f t="shared" si="4"/>
        <v>0</v>
      </c>
      <c r="G29">
        <f t="shared" si="9"/>
        <v>0</v>
      </c>
      <c r="I29">
        <v>0</v>
      </c>
      <c r="J29">
        <v>0</v>
      </c>
      <c r="L29">
        <f t="shared" si="1"/>
        <v>6</v>
      </c>
      <c r="M29">
        <f t="shared" si="5"/>
        <v>0</v>
      </c>
      <c r="N29">
        <f t="shared" si="6"/>
        <v>0</v>
      </c>
      <c r="P29">
        <v>0</v>
      </c>
      <c r="Q29">
        <v>0</v>
      </c>
      <c r="S29">
        <f t="shared" si="2"/>
        <v>6</v>
      </c>
      <c r="T29">
        <f t="shared" si="7"/>
        <v>0</v>
      </c>
      <c r="U29">
        <f t="shared" si="8"/>
        <v>0</v>
      </c>
    </row>
    <row r="30" spans="1:25" x14ac:dyDescent="0.25">
      <c r="A30">
        <v>0</v>
      </c>
      <c r="B30">
        <v>0</v>
      </c>
      <c r="C30">
        <v>0</v>
      </c>
      <c r="D30" s="1">
        <v>45173</v>
      </c>
      <c r="E30">
        <f t="shared" si="0"/>
        <v>1</v>
      </c>
      <c r="F30" t="str">
        <f t="shared" si="4"/>
        <v>10:00</v>
      </c>
      <c r="G30">
        <f t="shared" si="9"/>
        <v>36000</v>
      </c>
      <c r="I30">
        <v>0</v>
      </c>
      <c r="J30">
        <v>0</v>
      </c>
      <c r="L30">
        <f t="shared" si="1"/>
        <v>6</v>
      </c>
      <c r="M30">
        <f t="shared" si="5"/>
        <v>0</v>
      </c>
      <c r="N30">
        <f t="shared" si="6"/>
        <v>0</v>
      </c>
      <c r="P30">
        <v>0</v>
      </c>
      <c r="Q30">
        <v>0</v>
      </c>
      <c r="S30">
        <f t="shared" si="2"/>
        <v>6</v>
      </c>
      <c r="T30">
        <f t="shared" si="7"/>
        <v>0</v>
      </c>
      <c r="U30">
        <f t="shared" si="8"/>
        <v>0</v>
      </c>
    </row>
    <row r="31" spans="1:25" x14ac:dyDescent="0.25">
      <c r="A31">
        <v>0</v>
      </c>
      <c r="B31">
        <v>0</v>
      </c>
      <c r="C31">
        <v>0</v>
      </c>
      <c r="D31" s="1">
        <v>45174</v>
      </c>
      <c r="E31">
        <f t="shared" si="0"/>
        <v>2</v>
      </c>
      <c r="F31" t="str">
        <f t="shared" si="4"/>
        <v>10:00</v>
      </c>
      <c r="G31">
        <f t="shared" si="9"/>
        <v>36000</v>
      </c>
      <c r="I31">
        <v>8</v>
      </c>
      <c r="J31">
        <v>27</v>
      </c>
      <c r="L31">
        <f t="shared" si="1"/>
        <v>6</v>
      </c>
      <c r="M31" t="str">
        <f t="shared" si="5"/>
        <v>1:27</v>
      </c>
      <c r="N31">
        <f t="shared" si="6"/>
        <v>5220</v>
      </c>
      <c r="P31">
        <v>8</v>
      </c>
      <c r="Q31">
        <v>27</v>
      </c>
      <c r="S31">
        <f t="shared" si="2"/>
        <v>6</v>
      </c>
      <c r="T31" t="str">
        <f t="shared" si="7"/>
        <v>1:27</v>
      </c>
      <c r="U31">
        <f t="shared" si="8"/>
        <v>5220</v>
      </c>
    </row>
    <row r="32" spans="1:25" x14ac:dyDescent="0.25">
      <c r="A32">
        <v>0</v>
      </c>
      <c r="B32">
        <v>0</v>
      </c>
      <c r="C32">
        <v>0</v>
      </c>
      <c r="D32" s="1">
        <v>45175</v>
      </c>
      <c r="E32">
        <f t="shared" si="0"/>
        <v>3</v>
      </c>
      <c r="F32" t="str">
        <f t="shared" si="4"/>
        <v>10:00</v>
      </c>
      <c r="G32">
        <f t="shared" si="9"/>
        <v>36000</v>
      </c>
      <c r="I32">
        <v>0</v>
      </c>
      <c r="J32">
        <v>0</v>
      </c>
      <c r="L32">
        <f t="shared" si="1"/>
        <v>6</v>
      </c>
      <c r="M32">
        <f t="shared" si="5"/>
        <v>0</v>
      </c>
      <c r="N32">
        <f t="shared" si="6"/>
        <v>0</v>
      </c>
      <c r="P32">
        <v>0</v>
      </c>
      <c r="Q32">
        <v>0</v>
      </c>
      <c r="S32">
        <f t="shared" si="2"/>
        <v>6</v>
      </c>
      <c r="T32">
        <f t="shared" si="7"/>
        <v>0</v>
      </c>
      <c r="U32">
        <f t="shared" si="8"/>
        <v>0</v>
      </c>
    </row>
    <row r="33" spans="1:21" x14ac:dyDescent="0.25">
      <c r="A33">
        <v>0</v>
      </c>
      <c r="B33">
        <v>0</v>
      </c>
      <c r="C33">
        <v>0</v>
      </c>
      <c r="E33">
        <f t="shared" si="0"/>
        <v>6</v>
      </c>
      <c r="F33">
        <f t="shared" si="4"/>
        <v>0</v>
      </c>
      <c r="G33">
        <f t="shared" si="9"/>
        <v>0</v>
      </c>
      <c r="I33">
        <v>0</v>
      </c>
      <c r="J33">
        <v>0</v>
      </c>
      <c r="L33">
        <f t="shared" si="1"/>
        <v>6</v>
      </c>
      <c r="M33">
        <f t="shared" si="5"/>
        <v>0</v>
      </c>
      <c r="N33">
        <f t="shared" si="6"/>
        <v>0</v>
      </c>
      <c r="P33">
        <v>0</v>
      </c>
      <c r="Q33">
        <v>0</v>
      </c>
      <c r="S33">
        <f t="shared" si="2"/>
        <v>6</v>
      </c>
      <c r="T33">
        <f t="shared" si="7"/>
        <v>0</v>
      </c>
      <c r="U33">
        <f t="shared" si="8"/>
        <v>0</v>
      </c>
    </row>
    <row r="34" spans="1:21" x14ac:dyDescent="0.25">
      <c r="A34">
        <v>0</v>
      </c>
      <c r="B34">
        <v>0</v>
      </c>
      <c r="C34">
        <v>0</v>
      </c>
      <c r="D34" s="1">
        <v>45177</v>
      </c>
      <c r="E34">
        <f t="shared" si="0"/>
        <v>5</v>
      </c>
      <c r="F34" t="str">
        <f t="shared" si="4"/>
        <v>09:00</v>
      </c>
      <c r="G34">
        <f t="shared" si="9"/>
        <v>32400</v>
      </c>
      <c r="I34">
        <v>0</v>
      </c>
      <c r="J34">
        <v>0</v>
      </c>
      <c r="L34">
        <f t="shared" si="1"/>
        <v>6</v>
      </c>
      <c r="M34">
        <f t="shared" si="5"/>
        <v>0</v>
      </c>
      <c r="N34">
        <f t="shared" si="6"/>
        <v>0</v>
      </c>
      <c r="P34">
        <v>0</v>
      </c>
      <c r="Q34">
        <v>0</v>
      </c>
      <c r="S34">
        <f t="shared" si="2"/>
        <v>6</v>
      </c>
      <c r="T34">
        <f t="shared" si="7"/>
        <v>0</v>
      </c>
      <c r="U34">
        <f t="shared" si="8"/>
        <v>0</v>
      </c>
    </row>
    <row r="35" spans="1:21" x14ac:dyDescent="0.25">
      <c r="A35">
        <v>0</v>
      </c>
      <c r="B35">
        <v>0</v>
      </c>
      <c r="C35">
        <v>0</v>
      </c>
      <c r="D35" s="1">
        <v>45178</v>
      </c>
      <c r="E35">
        <f t="shared" si="0"/>
        <v>6</v>
      </c>
      <c r="F35">
        <f t="shared" si="4"/>
        <v>0</v>
      </c>
      <c r="G35">
        <f t="shared" si="9"/>
        <v>0</v>
      </c>
      <c r="I35">
        <v>0</v>
      </c>
      <c r="J35">
        <v>0</v>
      </c>
      <c r="L35">
        <f t="shared" si="1"/>
        <v>6</v>
      </c>
      <c r="M35">
        <f t="shared" si="5"/>
        <v>0</v>
      </c>
      <c r="N35">
        <f t="shared" si="6"/>
        <v>0</v>
      </c>
      <c r="P35">
        <v>0</v>
      </c>
      <c r="Q35">
        <v>0</v>
      </c>
      <c r="S35">
        <f t="shared" si="2"/>
        <v>6</v>
      </c>
      <c r="T35">
        <f t="shared" si="7"/>
        <v>0</v>
      </c>
      <c r="U35">
        <f t="shared" si="8"/>
        <v>0</v>
      </c>
    </row>
    <row r="36" spans="1:21" x14ac:dyDescent="0.25">
      <c r="A36">
        <v>0</v>
      </c>
      <c r="B36">
        <v>0</v>
      </c>
      <c r="C36">
        <v>0</v>
      </c>
      <c r="D36" s="1">
        <v>45179</v>
      </c>
      <c r="E36">
        <f t="shared" si="0"/>
        <v>7</v>
      </c>
      <c r="F36">
        <f t="shared" si="4"/>
        <v>0</v>
      </c>
      <c r="G36">
        <f t="shared" si="9"/>
        <v>0</v>
      </c>
      <c r="I36">
        <v>0</v>
      </c>
      <c r="J36">
        <v>0</v>
      </c>
      <c r="L36">
        <f t="shared" si="1"/>
        <v>6</v>
      </c>
      <c r="M36">
        <f t="shared" si="5"/>
        <v>0</v>
      </c>
      <c r="N36">
        <f t="shared" si="6"/>
        <v>0</v>
      </c>
      <c r="P36">
        <v>0</v>
      </c>
      <c r="Q36">
        <v>0</v>
      </c>
      <c r="S36">
        <f t="shared" si="2"/>
        <v>6</v>
      </c>
      <c r="T36">
        <f t="shared" si="7"/>
        <v>0</v>
      </c>
      <c r="U36">
        <f t="shared" si="8"/>
        <v>0</v>
      </c>
    </row>
    <row r="37" spans="1:21" x14ac:dyDescent="0.25">
      <c r="A37">
        <v>0</v>
      </c>
      <c r="B37">
        <v>0</v>
      </c>
      <c r="C37">
        <v>0</v>
      </c>
      <c r="D37" s="1">
        <v>45180</v>
      </c>
      <c r="E37">
        <f t="shared" si="0"/>
        <v>1</v>
      </c>
      <c r="F37" t="str">
        <f t="shared" si="4"/>
        <v>10:00</v>
      </c>
      <c r="G37">
        <f t="shared" si="9"/>
        <v>36000</v>
      </c>
      <c r="I37">
        <v>0</v>
      </c>
      <c r="J37">
        <v>0</v>
      </c>
      <c r="L37">
        <f t="shared" si="1"/>
        <v>6</v>
      </c>
      <c r="M37">
        <f t="shared" si="5"/>
        <v>0</v>
      </c>
      <c r="N37">
        <f t="shared" si="6"/>
        <v>0</v>
      </c>
      <c r="P37">
        <v>0</v>
      </c>
      <c r="Q37">
        <v>0</v>
      </c>
      <c r="S37">
        <f t="shared" si="2"/>
        <v>6</v>
      </c>
      <c r="T37">
        <f t="shared" si="7"/>
        <v>0</v>
      </c>
      <c r="U37">
        <f t="shared" si="8"/>
        <v>0</v>
      </c>
    </row>
    <row r="38" spans="1:21" x14ac:dyDescent="0.25">
      <c r="A38">
        <v>0</v>
      </c>
      <c r="B38">
        <v>0</v>
      </c>
      <c r="C38">
        <v>0</v>
      </c>
      <c r="D38" s="1">
        <v>45181</v>
      </c>
      <c r="E38">
        <f t="shared" si="0"/>
        <v>2</v>
      </c>
      <c r="F38" t="str">
        <f t="shared" si="4"/>
        <v>10:00</v>
      </c>
      <c r="G38">
        <f t="shared" si="9"/>
        <v>36000</v>
      </c>
      <c r="I38">
        <v>0</v>
      </c>
      <c r="J38">
        <v>0</v>
      </c>
      <c r="L38">
        <f t="shared" si="1"/>
        <v>6</v>
      </c>
      <c r="M38">
        <f t="shared" si="5"/>
        <v>0</v>
      </c>
      <c r="N38">
        <f t="shared" si="6"/>
        <v>0</v>
      </c>
      <c r="P38">
        <v>0</v>
      </c>
      <c r="Q38">
        <v>0</v>
      </c>
      <c r="S38">
        <f t="shared" si="2"/>
        <v>6</v>
      </c>
      <c r="T38">
        <f t="shared" si="7"/>
        <v>0</v>
      </c>
      <c r="U38">
        <f t="shared" si="8"/>
        <v>0</v>
      </c>
    </row>
    <row r="39" spans="1:21" x14ac:dyDescent="0.25">
      <c r="A39">
        <v>0</v>
      </c>
      <c r="B39">
        <v>0</v>
      </c>
      <c r="C39">
        <v>0</v>
      </c>
      <c r="D39" s="1">
        <v>45182</v>
      </c>
      <c r="E39">
        <f t="shared" si="0"/>
        <v>3</v>
      </c>
      <c r="F39" t="str">
        <f t="shared" si="4"/>
        <v>10:00</v>
      </c>
      <c r="G39">
        <f t="shared" si="9"/>
        <v>36000</v>
      </c>
      <c r="I39">
        <v>0</v>
      </c>
      <c r="J39">
        <v>0</v>
      </c>
      <c r="L39">
        <f t="shared" si="1"/>
        <v>6</v>
      </c>
      <c r="M39">
        <f t="shared" si="5"/>
        <v>0</v>
      </c>
      <c r="N39">
        <f t="shared" si="6"/>
        <v>0</v>
      </c>
      <c r="P39">
        <v>0</v>
      </c>
      <c r="Q39">
        <v>0</v>
      </c>
      <c r="S39">
        <f t="shared" si="2"/>
        <v>6</v>
      </c>
      <c r="T39">
        <f t="shared" si="7"/>
        <v>0</v>
      </c>
      <c r="U39">
        <f t="shared" si="8"/>
        <v>0</v>
      </c>
    </row>
    <row r="40" spans="1:21" x14ac:dyDescent="0.25">
      <c r="A40">
        <v>0</v>
      </c>
      <c r="B40">
        <v>0</v>
      </c>
      <c r="C40">
        <v>0</v>
      </c>
      <c r="D40" s="1">
        <v>45183</v>
      </c>
      <c r="E40">
        <f t="shared" si="0"/>
        <v>4</v>
      </c>
      <c r="F40" t="str">
        <f t="shared" si="4"/>
        <v>10:00</v>
      </c>
      <c r="G40">
        <f t="shared" si="9"/>
        <v>36000</v>
      </c>
      <c r="I40">
        <v>0</v>
      </c>
      <c r="J40">
        <v>0</v>
      </c>
      <c r="L40">
        <f t="shared" si="1"/>
        <v>6</v>
      </c>
      <c r="M40">
        <f t="shared" si="5"/>
        <v>0</v>
      </c>
      <c r="N40">
        <f t="shared" si="6"/>
        <v>0</v>
      </c>
      <c r="P40">
        <v>0</v>
      </c>
      <c r="Q40">
        <v>0</v>
      </c>
      <c r="S40">
        <f t="shared" si="2"/>
        <v>6</v>
      </c>
      <c r="T40">
        <f t="shared" si="7"/>
        <v>0</v>
      </c>
      <c r="U40">
        <f t="shared" si="8"/>
        <v>0</v>
      </c>
    </row>
    <row r="41" spans="1:21" x14ac:dyDescent="0.25">
      <c r="A41">
        <v>0</v>
      </c>
      <c r="B41">
        <v>0</v>
      </c>
      <c r="C41">
        <v>0</v>
      </c>
      <c r="D41" s="1">
        <v>45184</v>
      </c>
      <c r="E41">
        <f t="shared" si="0"/>
        <v>5</v>
      </c>
      <c r="F41" t="str">
        <f t="shared" si="4"/>
        <v>09:00</v>
      </c>
      <c r="G41">
        <f t="shared" si="9"/>
        <v>32400</v>
      </c>
      <c r="I41">
        <v>0</v>
      </c>
      <c r="J41">
        <v>0</v>
      </c>
      <c r="L41">
        <f t="shared" si="1"/>
        <v>6</v>
      </c>
      <c r="M41">
        <f t="shared" si="5"/>
        <v>0</v>
      </c>
      <c r="N41">
        <f t="shared" si="6"/>
        <v>0</v>
      </c>
      <c r="P41">
        <v>0</v>
      </c>
      <c r="Q41">
        <v>0</v>
      </c>
      <c r="S41">
        <f t="shared" si="2"/>
        <v>6</v>
      </c>
      <c r="T41">
        <f t="shared" si="7"/>
        <v>0</v>
      </c>
      <c r="U41">
        <f t="shared" si="8"/>
        <v>0</v>
      </c>
    </row>
    <row r="42" spans="1:21" x14ac:dyDescent="0.25">
      <c r="A42">
        <v>0</v>
      </c>
      <c r="B42">
        <v>0</v>
      </c>
      <c r="C42">
        <v>0</v>
      </c>
      <c r="D42" s="1">
        <v>45185</v>
      </c>
      <c r="E42">
        <f t="shared" si="0"/>
        <v>6</v>
      </c>
      <c r="F42">
        <f t="shared" si="4"/>
        <v>0</v>
      </c>
      <c r="G42">
        <f t="shared" si="9"/>
        <v>0</v>
      </c>
      <c r="I42">
        <v>0</v>
      </c>
      <c r="J42">
        <v>0</v>
      </c>
      <c r="L42">
        <f t="shared" si="1"/>
        <v>6</v>
      </c>
      <c r="M42">
        <f t="shared" si="5"/>
        <v>0</v>
      </c>
      <c r="N42">
        <f t="shared" si="6"/>
        <v>0</v>
      </c>
      <c r="P42">
        <v>0</v>
      </c>
      <c r="Q42">
        <v>0</v>
      </c>
      <c r="S42">
        <f t="shared" si="2"/>
        <v>6</v>
      </c>
      <c r="T42">
        <f t="shared" si="7"/>
        <v>0</v>
      </c>
      <c r="U42">
        <f t="shared" si="8"/>
        <v>0</v>
      </c>
    </row>
    <row r="43" spans="1:21" x14ac:dyDescent="0.25">
      <c r="A43">
        <v>0</v>
      </c>
      <c r="B43">
        <v>0</v>
      </c>
      <c r="C43">
        <v>0</v>
      </c>
      <c r="D43" s="1">
        <v>45186</v>
      </c>
      <c r="E43">
        <f t="shared" si="0"/>
        <v>7</v>
      </c>
      <c r="F43">
        <f t="shared" si="4"/>
        <v>0</v>
      </c>
      <c r="G43">
        <f t="shared" si="9"/>
        <v>0</v>
      </c>
      <c r="I43">
        <v>0</v>
      </c>
      <c r="J43">
        <v>0</v>
      </c>
      <c r="L43">
        <f t="shared" si="1"/>
        <v>6</v>
      </c>
      <c r="M43">
        <f t="shared" si="5"/>
        <v>0</v>
      </c>
      <c r="N43">
        <f t="shared" si="6"/>
        <v>0</v>
      </c>
      <c r="P43">
        <v>0</v>
      </c>
      <c r="Q43">
        <v>0</v>
      </c>
      <c r="S43">
        <f t="shared" si="2"/>
        <v>6</v>
      </c>
      <c r="T43">
        <f t="shared" si="7"/>
        <v>0</v>
      </c>
      <c r="U43">
        <f t="shared" si="8"/>
        <v>0</v>
      </c>
    </row>
    <row r="44" spans="1:21" x14ac:dyDescent="0.25">
      <c r="A44">
        <v>13</v>
      </c>
      <c r="B44">
        <v>46</v>
      </c>
      <c r="C44">
        <v>48</v>
      </c>
      <c r="D44" s="1">
        <v>45187</v>
      </c>
      <c r="E44">
        <f t="shared" si="0"/>
        <v>1</v>
      </c>
      <c r="F44" t="str">
        <f t="shared" si="4"/>
        <v>6:46:48</v>
      </c>
      <c r="G44">
        <f t="shared" si="9"/>
        <v>24408</v>
      </c>
      <c r="I44">
        <v>0</v>
      </c>
      <c r="J44">
        <v>0</v>
      </c>
      <c r="L44">
        <f t="shared" si="1"/>
        <v>6</v>
      </c>
      <c r="M44">
        <f t="shared" si="5"/>
        <v>0</v>
      </c>
      <c r="N44">
        <f t="shared" si="6"/>
        <v>0</v>
      </c>
      <c r="P44">
        <v>0</v>
      </c>
      <c r="Q44">
        <v>0</v>
      </c>
      <c r="S44">
        <f t="shared" si="2"/>
        <v>6</v>
      </c>
      <c r="T44">
        <f t="shared" si="7"/>
        <v>0</v>
      </c>
      <c r="U44">
        <f t="shared" si="8"/>
        <v>0</v>
      </c>
    </row>
    <row r="45" spans="1:21" x14ac:dyDescent="0.25">
      <c r="A45">
        <v>0</v>
      </c>
      <c r="B45">
        <v>0</v>
      </c>
      <c r="C45">
        <v>0</v>
      </c>
      <c r="E45">
        <f t="shared" si="0"/>
        <v>6</v>
      </c>
      <c r="F45">
        <f t="shared" si="4"/>
        <v>0</v>
      </c>
      <c r="G45">
        <f t="shared" si="9"/>
        <v>0</v>
      </c>
      <c r="I45">
        <v>0</v>
      </c>
      <c r="J45">
        <v>0</v>
      </c>
      <c r="L45">
        <f t="shared" si="1"/>
        <v>6</v>
      </c>
      <c r="M45">
        <f t="shared" si="5"/>
        <v>0</v>
      </c>
      <c r="N45">
        <f t="shared" si="6"/>
        <v>0</v>
      </c>
      <c r="P45">
        <v>0</v>
      </c>
      <c r="Q45">
        <v>0</v>
      </c>
      <c r="S45">
        <f t="shared" si="2"/>
        <v>6</v>
      </c>
      <c r="T45">
        <f t="shared" si="7"/>
        <v>0</v>
      </c>
      <c r="U45">
        <f t="shared" si="8"/>
        <v>0</v>
      </c>
    </row>
    <row r="46" spans="1:21" x14ac:dyDescent="0.25">
      <c r="A46">
        <v>0</v>
      </c>
      <c r="B46">
        <v>0</v>
      </c>
      <c r="C46">
        <v>0</v>
      </c>
      <c r="E46">
        <f t="shared" si="0"/>
        <v>6</v>
      </c>
      <c r="F46">
        <f t="shared" si="4"/>
        <v>0</v>
      </c>
      <c r="G46">
        <f t="shared" si="9"/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Raisson Charles Rodrigues Assis</dc:creator>
  <cp:lastModifiedBy>Raisson Charles Rodrigues Assis</cp:lastModifiedBy>
  <dcterms:created xsi:type="dcterms:W3CDTF">2023-10-17T11:47:03Z</dcterms:created>
  <dcterms:modified xsi:type="dcterms:W3CDTF">2023-10-24T12:54:50Z</dcterms:modified>
</cp:coreProperties>
</file>